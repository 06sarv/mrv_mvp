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23139535\Desktop\"/>
    </mc:Choice>
  </mc:AlternateContent>
  <xr:revisionPtr revIDLastSave="0" documentId="8_{12030D98-B9A7-460D-9C7F-E1DD1F1FE00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onsumption " sheetId="2" r:id="rId1"/>
    <sheet name="Details 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3" l="1"/>
  <c r="I5" i="3"/>
</calcChain>
</file>

<file path=xl/sharedStrings.xml><?xml version="1.0" encoding="utf-8"?>
<sst xmlns="http://schemas.openxmlformats.org/spreadsheetml/2006/main" count="42" uniqueCount="38">
  <si>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</si>
  <si>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</si>
  <si>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</si>
  <si>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</si>
  <si>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</si>
  <si>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</si>
  <si>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</si>
  <si>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</si>
  <si>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</si>
  <si>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</si>
  <si>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</si>
  <si>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 xml:space="preserve">MTA -Over all energy </t>
  </si>
  <si>
    <t>AC</t>
  </si>
  <si>
    <t xml:space="preserve">Light </t>
  </si>
  <si>
    <t xml:space="preserve">Raw power </t>
  </si>
  <si>
    <t xml:space="preserve">UPS </t>
  </si>
  <si>
    <t xml:space="preserve">MTA Seating area - 1 </t>
  </si>
  <si>
    <t>MTA Seating area - 2</t>
  </si>
  <si>
    <t>Size</t>
  </si>
  <si>
    <t>27.2m x 12.2m</t>
  </si>
  <si>
    <t>32.5m x 12.2m</t>
  </si>
  <si>
    <t xml:space="preserve">Number of Light </t>
  </si>
  <si>
    <t>Area</t>
  </si>
  <si>
    <t>Sl.no</t>
  </si>
  <si>
    <t xml:space="preserve">Seating Capacity </t>
  </si>
  <si>
    <t>AC Unit - HP</t>
  </si>
  <si>
    <t>FAF CFM</t>
  </si>
  <si>
    <t>Mar</t>
  </si>
  <si>
    <t>Seating - 1
Near VES Lab</t>
  </si>
  <si>
    <t>Seaing - 2 Opp to MTA office</t>
  </si>
  <si>
    <t>32 ( 36W)</t>
  </si>
  <si>
    <t>44 (36W)</t>
  </si>
  <si>
    <t>AC indoor No</t>
  </si>
  <si>
    <t>AC Indoor Kw</t>
  </si>
  <si>
    <t>Ac Out door No</t>
  </si>
  <si>
    <t>20 + 20 + 12</t>
  </si>
  <si>
    <t xml:space="preserve">18 + 18 </t>
  </si>
  <si>
    <t>FAF Motor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</si>
</sst>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BE1CE-82CD-4382-805E-4C8E64CE0AEC}">
  <dimension ref="A1:N10"/>
  <sheetViews>
    <sheetView workbookViewId="0">
      <selection activeCell="C12" sqref="C12"/>
    </sheetView>
  </sheetViews>
  <sheetFormatPr defaultRowHeight="15" x14ac:dyDescent="0.25"/>
  <cols>
    <col min="1" max="1" width="18" customWidth="1"/>
    <col min="2" max="2" width="11.28515625" bestFit="1" customWidth="1"/>
  </cols>
  <sheetData>
    <row r="1" spans="1:14" x14ac:dyDescent="0.25">
      <c r="A1" s="10" t="s">
        <v>11</v>
      </c>
      <c r="B1" s="11"/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27</v>
      </c>
    </row>
    <row r="2" spans="1:14" x14ac:dyDescent="0.25">
      <c r="A2" s="12"/>
      <c r="B2" s="13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x14ac:dyDescent="0.25">
      <c r="A3" s="8" t="s">
        <v>28</v>
      </c>
      <c r="B3" s="1" t="s">
        <v>12</v>
      </c>
      <c r="C3" s="2">
        <v>10017.51</v>
      </c>
      <c r="D3" s="2">
        <v>10099.49</v>
      </c>
      <c r="E3" s="2">
        <v>10442.59</v>
      </c>
      <c r="F3" s="2">
        <v>10068.31</v>
      </c>
      <c r="G3" s="2">
        <v>9029.9500000000007</v>
      </c>
      <c r="H3" s="2">
        <v>10281.82</v>
      </c>
      <c r="I3" s="2">
        <v>10111.16</v>
      </c>
      <c r="J3" s="2">
        <v>6663.3</v>
      </c>
      <c r="K3" s="2">
        <v>6558.95</v>
      </c>
      <c r="L3" s="2">
        <v>6496.14</v>
      </c>
      <c r="M3" s="2">
        <v>7141.72</v>
      </c>
      <c r="N3" s="3"/>
    </row>
    <row r="4" spans="1:14" x14ac:dyDescent="0.25">
      <c r="A4" s="9"/>
      <c r="B4" s="1" t="s">
        <v>13</v>
      </c>
      <c r="C4" s="2">
        <v>2640.21</v>
      </c>
      <c r="D4" s="2">
        <v>2753.85</v>
      </c>
      <c r="E4" s="2">
        <v>2583</v>
      </c>
      <c r="F4" s="2">
        <v>2802.32</v>
      </c>
      <c r="G4" s="2">
        <v>2538</v>
      </c>
      <c r="H4" s="2">
        <v>2621.98</v>
      </c>
      <c r="I4" s="2">
        <v>2715.73</v>
      </c>
      <c r="J4" s="2">
        <v>135.33000000000001</v>
      </c>
      <c r="K4" s="2">
        <v>2400.29</v>
      </c>
      <c r="L4" s="2">
        <v>2674.32</v>
      </c>
      <c r="M4" s="2">
        <v>2421.5500000000002</v>
      </c>
      <c r="N4" s="3"/>
    </row>
    <row r="5" spans="1:14" x14ac:dyDescent="0.25">
      <c r="A5" s="9"/>
      <c r="B5" s="1" t="s">
        <v>14</v>
      </c>
      <c r="C5" s="2">
        <v>967.56</v>
      </c>
      <c r="D5" s="2">
        <v>1106.3900000000001</v>
      </c>
      <c r="E5" s="2">
        <v>952.15</v>
      </c>
      <c r="F5" s="2">
        <v>1006.12</v>
      </c>
      <c r="G5" s="2">
        <v>1107.1199999999999</v>
      </c>
      <c r="H5" s="2">
        <v>1016.65</v>
      </c>
      <c r="I5" s="2">
        <v>900.95</v>
      </c>
      <c r="J5" s="2">
        <v>829.16</v>
      </c>
      <c r="K5" s="2">
        <v>980.38</v>
      </c>
      <c r="L5" s="2">
        <v>898.66</v>
      </c>
      <c r="M5" s="2">
        <v>930.05</v>
      </c>
      <c r="N5" s="3"/>
    </row>
    <row r="6" spans="1:14" x14ac:dyDescent="0.25">
      <c r="A6" s="9"/>
      <c r="B6" s="14" t="s">
        <v>15</v>
      </c>
      <c r="C6" s="15">
        <v>1130</v>
      </c>
      <c r="D6" s="15">
        <v>1150.55</v>
      </c>
      <c r="E6" s="15">
        <v>1125.23</v>
      </c>
      <c r="F6" s="15">
        <v>1110.1099999999999</v>
      </c>
      <c r="G6" s="15">
        <v>1145.22</v>
      </c>
      <c r="H6" s="15">
        <v>1131.22</v>
      </c>
      <c r="I6" s="15">
        <v>1128.06</v>
      </c>
      <c r="J6" s="15">
        <v>1180.02</v>
      </c>
      <c r="K6" s="15">
        <v>1168.1199999999999</v>
      </c>
      <c r="L6" s="15">
        <v>1198.3900000000001</v>
      </c>
      <c r="M6" s="15">
        <v>1149.8399999999999</v>
      </c>
      <c r="N6" s="3"/>
    </row>
    <row r="7" spans="1:14" x14ac:dyDescent="0.25">
      <c r="A7" s="8" t="s">
        <v>29</v>
      </c>
      <c r="B7" s="1" t="s">
        <v>12</v>
      </c>
      <c r="C7" s="2">
        <v>6108</v>
      </c>
      <c r="D7" s="2">
        <v>8369</v>
      </c>
      <c r="E7" s="2">
        <v>6443</v>
      </c>
      <c r="F7" s="2">
        <v>8088.62</v>
      </c>
      <c r="G7" s="2">
        <v>6823.81</v>
      </c>
      <c r="H7" s="2">
        <v>6000</v>
      </c>
      <c r="I7" s="2">
        <v>5060.16</v>
      </c>
      <c r="J7" s="2">
        <v>4303</v>
      </c>
      <c r="K7" s="2">
        <v>3957.29</v>
      </c>
      <c r="L7" s="2">
        <v>4496.07</v>
      </c>
      <c r="M7" s="2">
        <v>5141.75</v>
      </c>
      <c r="N7" s="3"/>
    </row>
    <row r="8" spans="1:14" x14ac:dyDescent="0.25">
      <c r="A8" s="8"/>
      <c r="B8" s="1" t="s">
        <v>13</v>
      </c>
      <c r="C8" s="2">
        <v>1640</v>
      </c>
      <c r="D8" s="2">
        <v>1553.95</v>
      </c>
      <c r="E8" s="2">
        <v>1583.33</v>
      </c>
      <c r="F8" s="2">
        <v>1802</v>
      </c>
      <c r="G8" s="2">
        <v>1500.34</v>
      </c>
      <c r="H8" s="2">
        <v>1412.85</v>
      </c>
      <c r="I8" s="2">
        <v>1715.35</v>
      </c>
      <c r="J8" s="2">
        <v>123.53</v>
      </c>
      <c r="K8" s="2">
        <v>1612.11</v>
      </c>
      <c r="L8" s="2">
        <v>1498.24</v>
      </c>
      <c r="M8" s="2">
        <v>1349.15</v>
      </c>
      <c r="N8" s="3"/>
    </row>
    <row r="9" spans="1:14" x14ac:dyDescent="0.25">
      <c r="A9" s="8"/>
      <c r="B9" s="1" t="s">
        <v>14</v>
      </c>
      <c r="C9" s="2">
        <v>766</v>
      </c>
      <c r="D9" s="2">
        <v>706.51</v>
      </c>
      <c r="E9" s="2">
        <v>752.25</v>
      </c>
      <c r="F9" s="2">
        <v>806.12</v>
      </c>
      <c r="G9" s="2">
        <v>707.24</v>
      </c>
      <c r="H9" s="2">
        <v>617.33000000000004</v>
      </c>
      <c r="I9" s="2">
        <v>608.95000000000005</v>
      </c>
      <c r="J9" s="2">
        <v>629.22</v>
      </c>
      <c r="K9" s="2">
        <v>779.76</v>
      </c>
      <c r="L9" s="2">
        <v>698.59</v>
      </c>
      <c r="M9" s="2">
        <v>746.25</v>
      </c>
      <c r="N9" s="3"/>
    </row>
    <row r="10" spans="1:14" x14ac:dyDescent="0.25">
      <c r="A10" s="8"/>
      <c r="B10" s="14" t="s">
        <v>15</v>
      </c>
      <c r="C10" s="15">
        <v>1000</v>
      </c>
      <c r="D10" s="15">
        <v>1100</v>
      </c>
      <c r="E10" s="15">
        <v>1058.1099999999999</v>
      </c>
      <c r="F10" s="15">
        <v>1096</v>
      </c>
      <c r="G10" s="15">
        <v>1072.25</v>
      </c>
      <c r="H10" s="15">
        <v>1099.04</v>
      </c>
      <c r="I10" s="15">
        <v>1023.55</v>
      </c>
      <c r="J10" s="15">
        <v>1000</v>
      </c>
      <c r="K10" s="15">
        <v>1021.55</v>
      </c>
      <c r="L10" s="15">
        <v>1084.29</v>
      </c>
      <c r="M10" s="15">
        <v>1089.21</v>
      </c>
      <c r="N10" s="3"/>
    </row>
  </sheetData>
  <mergeCells count="15">
    <mergeCell ref="N1:N2"/>
    <mergeCell ref="A3:A6"/>
    <mergeCell ref="A7:A10"/>
    <mergeCell ref="A1:B2"/>
    <mergeCell ref="C1:C2"/>
    <mergeCell ref="D1:D2"/>
    <mergeCell ref="K1:K2"/>
    <mergeCell ref="L1:L2"/>
    <mergeCell ref="M1:M2"/>
    <mergeCell ref="E1:E2"/>
    <mergeCell ref="F1:F2"/>
    <mergeCell ref="G1:G2"/>
    <mergeCell ref="H1:H2"/>
    <mergeCell ref="I1:I2"/>
    <mergeCell ref="J1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865D-EE02-45B5-BFCD-6E5F501A6F81}">
  <dimension ref="A4:K6"/>
  <sheetViews>
    <sheetView tabSelected="1" topLeftCell="A2" workbookViewId="0">
      <selection activeCell="J5" sqref="J5"/>
    </sheetView>
  </sheetViews>
  <sheetFormatPr defaultRowHeight="15" x14ac:dyDescent="0.25"/>
  <cols>
    <col min="1" max="1" width="5.42578125" style="4" bestFit="1" customWidth="1"/>
    <col min="2" max="2" width="21.7109375" style="4" customWidth="1"/>
    <col min="3" max="3" width="15" style="4" customWidth="1"/>
    <col min="4" max="4" width="15.140625" style="4" customWidth="1"/>
    <col min="5" max="5" width="15.85546875" style="4" bestFit="1" customWidth="1"/>
    <col min="6" max="6" width="14.140625" style="4" customWidth="1"/>
    <col min="7" max="9" width="14.5703125" style="4" customWidth="1"/>
    <col min="10" max="10" width="15.42578125" style="4" customWidth="1"/>
    <col min="11" max="11" width="13.5703125" style="4" customWidth="1"/>
    <col min="12" max="16384" width="9.140625" style="4"/>
  </cols>
  <sheetData>
    <row r="4" spans="1:11" x14ac:dyDescent="0.25">
      <c r="A4" s="5" t="s">
        <v>23</v>
      </c>
      <c r="B4" s="5" t="s">
        <v>22</v>
      </c>
      <c r="C4" s="5" t="s">
        <v>18</v>
      </c>
      <c r="D4" s="5" t="s">
        <v>24</v>
      </c>
      <c r="E4" s="5" t="s">
        <v>21</v>
      </c>
      <c r="F4" s="5" t="s">
        <v>34</v>
      </c>
      <c r="G4" s="5" t="s">
        <v>25</v>
      </c>
      <c r="H4" s="5" t="s">
        <v>32</v>
      </c>
      <c r="I4" s="5" t="s">
        <v>33</v>
      </c>
      <c r="J4" s="5" t="s">
        <v>37</v>
      </c>
      <c r="K4" s="5" t="s">
        <v>26</v>
      </c>
    </row>
    <row r="5" spans="1:11" x14ac:dyDescent="0.25">
      <c r="A5" s="5">
        <v>1</v>
      </c>
      <c r="B5" s="5" t="s">
        <v>16</v>
      </c>
      <c r="C5" s="5" t="s">
        <v>19</v>
      </c>
      <c r="D5" s="5">
        <v>78</v>
      </c>
      <c r="E5" s="5" t="s">
        <v>30</v>
      </c>
      <c r="F5" s="5" t="s">
        <v>36</v>
      </c>
      <c r="G5" s="5">
        <v>36</v>
      </c>
      <c r="H5" s="5">
        <v>8</v>
      </c>
      <c r="I5" s="5">
        <f>0.8*H5</f>
        <v>6.4</v>
      </c>
      <c r="J5" s="5">
        <v>2</v>
      </c>
      <c r="K5" s="16">
        <v>1000</v>
      </c>
    </row>
    <row r="6" spans="1:11" x14ac:dyDescent="0.25">
      <c r="A6" s="5">
        <v>2</v>
      </c>
      <c r="B6" s="5" t="s">
        <v>17</v>
      </c>
      <c r="C6" s="5" t="s">
        <v>20</v>
      </c>
      <c r="D6" s="5">
        <v>111</v>
      </c>
      <c r="E6" s="5" t="s">
        <v>31</v>
      </c>
      <c r="F6" s="5" t="s">
        <v>35</v>
      </c>
      <c r="G6" s="5">
        <v>52</v>
      </c>
      <c r="H6" s="5">
        <v>12</v>
      </c>
      <c r="I6" s="5">
        <f>0.8*H6</f>
        <v>9.6000000000000014</v>
      </c>
      <c r="J6" s="5">
        <v>3</v>
      </c>
      <c r="K6" s="16">
        <v>2000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ac4e201-4c2d-490c-b188-5575fa2c697c}" enabled="1" method="Standard" siteId="{8c4858b5-f020-483a-b7ef-71ded6e8176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Consumption </vt:lpstr>
      <vt:lpstr>Details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MRV.OFFICE-MAINT</dc:creator>
  <cp:lastModifiedBy>C VETRIVEL</cp:lastModifiedBy>
  <dcterms:created xsi:type="dcterms:W3CDTF">2015-06-05T18:17:20Z</dcterms:created>
  <dcterms:modified xsi:type="dcterms:W3CDTF">2025-03-07T08:00:13Z</dcterms:modified>
</cp:coreProperties>
</file>